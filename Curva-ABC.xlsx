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7cb219cd07a193/Desktop/"/>
    </mc:Choice>
  </mc:AlternateContent>
  <xr:revisionPtr revIDLastSave="6" documentId="8_{14DF8936-B87A-4D5F-8F85-DC3E25DBEB50}" xr6:coauthVersionLast="47" xr6:coauthVersionMax="47" xr10:uidLastSave="{CAB69D40-F363-445A-83C2-656E4748F12D}"/>
  <bookViews>
    <workbookView xWindow="-108" yWindow="-108" windowWidth="23256" windowHeight="12456" xr2:uid="{76C1E2BD-9576-4F57-905E-4451C397A7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C12" i="1"/>
  <c r="B13" i="1"/>
  <c r="C13" i="1" s="1"/>
  <c r="C10" i="1" l="1"/>
  <c r="C5" i="1"/>
  <c r="C7" i="1"/>
  <c r="C2" i="1"/>
  <c r="D2" i="1" s="1"/>
  <c r="C4" i="1"/>
  <c r="C8" i="1"/>
  <c r="C11" i="1"/>
  <c r="C3" i="1"/>
  <c r="C6" i="1"/>
  <c r="C9" i="1"/>
  <c r="D3" i="1" l="1"/>
  <c r="D4" i="1" s="1"/>
  <c r="D5" i="1" s="1"/>
  <c r="D6" i="1" s="1"/>
  <c r="D7" i="1" s="1"/>
  <c r="D8" i="1" s="1"/>
  <c r="D9" i="1" s="1"/>
  <c r="D10" i="1" s="1"/>
  <c r="D11" i="1" s="1"/>
</calcChain>
</file>

<file path=xl/sharedStrings.xml><?xml version="1.0" encoding="utf-8"?>
<sst xmlns="http://schemas.openxmlformats.org/spreadsheetml/2006/main" count="16" uniqueCount="16">
  <si>
    <t>Escavação</t>
  </si>
  <si>
    <t>Cravação de estacas</t>
  </si>
  <si>
    <t>Concreto Armado</t>
  </si>
  <si>
    <t>Alvenaria</t>
  </si>
  <si>
    <t xml:space="preserve">Esquadrias </t>
  </si>
  <si>
    <t>Instalações Hidra/Elé</t>
  </si>
  <si>
    <t>Revestimentos</t>
  </si>
  <si>
    <t>Vidros</t>
  </si>
  <si>
    <t>Pintura</t>
  </si>
  <si>
    <t>Elevadores</t>
  </si>
  <si>
    <t>Serviço</t>
  </si>
  <si>
    <t>Total</t>
  </si>
  <si>
    <t>Custos</t>
  </si>
  <si>
    <t>Acumulado</t>
  </si>
  <si>
    <t>Porcentagem</t>
  </si>
  <si>
    <t>Segurança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</si>
</sst>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vertical="center"/>
    </xf>
    <xf numFmtId="0" fontId="0" fillId="0" borderId="2" xfId="0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2">
    <cellStyle name="Normal" xfId="0" builtinId="0"/>
    <cellStyle name="Porcentagem" xfId="1" builtinId="5"/>
  </cellStyles>
  <dxfs count="3"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719BA7-25FE-48B5-ADF9-8585FDCC937E}" name="Tabela2" displayName="Tabela2" ref="A1:B12" totalsRowShown="0" headerRowDxfId="2">
  <autoFilter ref="A1:B12" xr:uid="{F8719BA7-25FE-48B5-ADF9-8585FDCC937E}"/>
  <sortState xmlns:xlrd2="http://schemas.microsoft.com/office/spreadsheetml/2017/richdata2" ref="A2:B11">
    <sortCondition descending="1" ref="B1:B11"/>
  </sortState>
  <tableColumns count="2">
    <tableColumn id="1" xr3:uid="{9EC8D78F-9B6D-48A3-A4C2-9E4D596910A9}" name="Serviço" dataDxfId="1"/>
    <tableColumn id="2" xr3:uid="{81C3DA8D-250C-425A-8C74-61E59603911D}" name="Custo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C747-70B3-404D-948B-50C9B190C48A}">
  <dimension ref="A1:D13"/>
  <sheetViews>
    <sheetView tabSelected="1" zoomScale="170" zoomScaleNormal="170" workbookViewId="0">
      <selection activeCell="A12" sqref="A12"/>
    </sheetView>
  </sheetViews>
  <sheetFormatPr defaultRowHeight="14.4" x14ac:dyDescent="0.3"/>
  <cols>
    <col min="1" max="1" width="25.77734375" customWidth="1"/>
    <col min="2" max="2" width="21" customWidth="1"/>
    <col min="3" max="3" width="16" customWidth="1"/>
    <col min="4" max="4" width="15.77734375" customWidth="1"/>
  </cols>
  <sheetData>
    <row r="1" spans="1:4" x14ac:dyDescent="0.3">
      <c r="A1" s="2" t="s">
        <v>10</v>
      </c>
      <c r="B1" s="2" t="s">
        <v>12</v>
      </c>
      <c r="C1" s="2" t="s">
        <v>14</v>
      </c>
      <c r="D1" s="3" t="s">
        <v>13</v>
      </c>
    </row>
    <row r="2" spans="1:4" x14ac:dyDescent="0.3">
      <c r="A2" s="2" t="s">
        <v>2</v>
      </c>
      <c r="B2" s="4">
        <v>990000</v>
      </c>
      <c r="C2" s="5">
        <f>B2/B13</f>
        <v>0.32781456953642385</v>
      </c>
      <c r="D2" s="1">
        <f>C2</f>
        <v>0.32781456953642385</v>
      </c>
    </row>
    <row r="3" spans="1:4" x14ac:dyDescent="0.3">
      <c r="A3" s="2" t="s">
        <v>6</v>
      </c>
      <c r="B3" s="4">
        <v>570000</v>
      </c>
      <c r="C3" s="5">
        <f>B3/B13</f>
        <v>0.18874172185430463</v>
      </c>
      <c r="D3" s="1">
        <f t="shared" ref="D3:D10" si="0">D2+C3</f>
        <v>0.51655629139072845</v>
      </c>
    </row>
    <row r="4" spans="1:4" x14ac:dyDescent="0.3">
      <c r="A4" s="2" t="s">
        <v>5</v>
      </c>
      <c r="B4" s="4">
        <v>510000</v>
      </c>
      <c r="C4" s="5">
        <f>B4/B13</f>
        <v>0.16887417218543047</v>
      </c>
      <c r="D4" s="1">
        <f t="shared" si="0"/>
        <v>0.68543046357615889</v>
      </c>
    </row>
    <row r="5" spans="1:4" x14ac:dyDescent="0.3">
      <c r="A5" s="2" t="s">
        <v>4</v>
      </c>
      <c r="B5" s="4">
        <v>240000</v>
      </c>
      <c r="C5" s="5">
        <f>B5/B13</f>
        <v>7.9470198675496692E-2</v>
      </c>
      <c r="D5" s="1">
        <f t="shared" si="0"/>
        <v>0.76490066225165554</v>
      </c>
    </row>
    <row r="6" spans="1:4" x14ac:dyDescent="0.3">
      <c r="A6" s="2" t="s">
        <v>9</v>
      </c>
      <c r="B6" s="4">
        <v>180000</v>
      </c>
      <c r="C6" s="5">
        <f>B6/B13</f>
        <v>5.9602649006622516E-2</v>
      </c>
      <c r="D6" s="1">
        <f t="shared" si="0"/>
        <v>0.82450331125827803</v>
      </c>
    </row>
    <row r="7" spans="1:4" x14ac:dyDescent="0.3">
      <c r="A7" s="2" t="s">
        <v>1</v>
      </c>
      <c r="B7" s="4">
        <v>150000</v>
      </c>
      <c r="C7" s="5">
        <f>B7/B13</f>
        <v>4.9668874172185427E-2</v>
      </c>
      <c r="D7" s="1">
        <f t="shared" si="0"/>
        <v>0.87417218543046349</v>
      </c>
    </row>
    <row r="8" spans="1:4" x14ac:dyDescent="0.3">
      <c r="A8" s="2" t="s">
        <v>3</v>
      </c>
      <c r="B8" s="4">
        <v>120000</v>
      </c>
      <c r="C8" s="5">
        <f>B8/B13</f>
        <v>3.9735099337748346E-2</v>
      </c>
      <c r="D8" s="1">
        <f t="shared" si="0"/>
        <v>0.91390728476821181</v>
      </c>
    </row>
    <row r="9" spans="1:4" x14ac:dyDescent="0.3">
      <c r="A9" s="2" t="s">
        <v>8</v>
      </c>
      <c r="B9" s="4">
        <v>120000</v>
      </c>
      <c r="C9" s="5">
        <f>B9/B13</f>
        <v>3.9735099337748346E-2</v>
      </c>
      <c r="D9" s="1">
        <f t="shared" si="0"/>
        <v>0.95364238410596014</v>
      </c>
    </row>
    <row r="10" spans="1:4" x14ac:dyDescent="0.3">
      <c r="A10" s="2" t="s">
        <v>7</v>
      </c>
      <c r="B10" s="4">
        <v>90000</v>
      </c>
      <c r="C10" s="5">
        <f>B10/B13</f>
        <v>2.9801324503311258E-2</v>
      </c>
      <c r="D10" s="1">
        <f t="shared" si="0"/>
        <v>0.98344370860927144</v>
      </c>
    </row>
    <row r="11" spans="1:4" x14ac:dyDescent="0.3">
      <c r="A11" s="2" t="s">
        <v>0</v>
      </c>
      <c r="B11" s="4">
        <v>30000</v>
      </c>
      <c r="C11" s="5">
        <f>B11/B13</f>
        <v>9.9337748344370865E-3</v>
      </c>
      <c r="D11" s="1">
        <f>D10+C11</f>
        <v>0.99337748344370858</v>
      </c>
    </row>
    <row r="12" spans="1:4" x14ac:dyDescent="0.3">
      <c r="A12" s="7" t="s">
        <v>15</v>
      </c>
      <c r="B12" s="8">
        <v>20000</v>
      </c>
      <c r="C12" s="5">
        <f>B12/B13</f>
        <v>6.6225165562913907E-3</v>
      </c>
      <c r="D12" s="1">
        <f>D11+C12</f>
        <v>1</v>
      </c>
    </row>
    <row r="13" spans="1:4" x14ac:dyDescent="0.3">
      <c r="A13" s="2" t="s">
        <v>11</v>
      </c>
      <c r="B13" s="4">
        <f>SUM(B2:B12)</f>
        <v>3020000</v>
      </c>
      <c r="C13" s="5">
        <f>B13/B13</f>
        <v>1</v>
      </c>
      <c r="D13" s="6"/>
    </row>
  </sheetData>
  <conditionalFormatting sqref="D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0">
    <cfRule type="colorScale" priority="2">
      <colorScale>
        <cfvo type="min"/>
        <cfvo type="percentile" val="50"/>
        <cfvo type="max"/>
        <color rgb="FFFF7128"/>
        <color rgb="FFFFEB84"/>
        <color rgb="FF00B050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Eduardo</dc:creator>
  <cp:lastModifiedBy>Vitor Eduardo</cp:lastModifiedBy>
  <dcterms:created xsi:type="dcterms:W3CDTF">2026-03-02T11:25:37Z</dcterms:created>
  <dcterms:modified xsi:type="dcterms:W3CDTF">2026-03-03T02:25:21Z</dcterms:modified>
</cp:coreProperties>
</file>